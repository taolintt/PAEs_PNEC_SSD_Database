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水体" sheetId="1" r:id="rId1"/>
    <sheet name="土壤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<sst xmlns="http://schemas.openxmlformats.org/spreadsheetml/2006/main" count="16" uniqueCount="13">
  <si>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r>
      <rPr>
        <sz val="11"/>
        <color theme="1"/>
        <rFont val="Times New Roman"/>
        <charset val="134"/>
      </rPr>
      <t>PAE</t>
    </r>
    <r>
      <rPr>
        <sz val="11"/>
        <color theme="1"/>
        <rFont val="宋体"/>
        <charset val="134"/>
      </rPr>
      <t>及其降解产物单体</t>
    </r>
  </si>
  <si>
    <r>
      <rPr>
        <sz val="11"/>
        <color theme="1"/>
        <rFont val="宋体"/>
        <charset val="134"/>
      </rPr>
      <t>物种数</t>
    </r>
  </si>
  <si>
    <r>
      <rPr>
        <sz val="11"/>
        <color theme="1"/>
        <rFont val="宋体"/>
        <charset val="134"/>
      </rPr>
      <t>数据来源</t>
    </r>
  </si>
  <si>
    <r>
      <rPr>
        <sz val="11"/>
        <color theme="1"/>
        <rFont val="Times New Roman"/>
        <charset val="134"/>
      </rPr>
      <t>HC</t>
    </r>
    <r>
      <rPr>
        <sz val="9"/>
        <color theme="1"/>
        <rFont val="Times New Roman"/>
        <charset val="134"/>
      </rPr>
      <t>5</t>
    </r>
    <r>
      <rPr>
        <sz val="11"/>
        <color theme="1"/>
        <rFont val="Times New Roman"/>
        <charset val="134"/>
      </rPr>
      <t xml:space="preserve"> (mg/L)</t>
    </r>
  </si>
  <si>
    <r>
      <rPr>
        <sz val="11"/>
        <color theme="1"/>
        <rFont val="宋体"/>
        <charset val="134"/>
      </rPr>
      <t>评估因子（</t>
    </r>
    <r>
      <rPr>
        <sz val="11"/>
        <color theme="1"/>
        <rFont val="Times New Roman"/>
        <charset val="134"/>
      </rPr>
      <t>AF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</si>
  <si>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PNEC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mg/L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</si>
  <si>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PNEC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μg/L</t>
    </r>
    <r>
      <rPr>
        <sz val="11"/>
        <color theme="1"/>
        <rFont val="宋体"/>
        <charset val="134"/>
      </rPr>
      <t>）</t>
    </r>
  </si>
  <si>
    <r>
      <rPr>
        <sz val="11"/>
        <color theme="1"/>
        <rFont val="Times New Roman"/>
        <charset val="134"/>
      </rPr>
      <t>PNEC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ng/L</t>
    </r>
    <r>
      <rPr>
        <sz val="11"/>
        <color theme="1"/>
        <rFont val="宋体"/>
        <charset val="134"/>
      </rPr>
      <t>）</t>
    </r>
  </si>
  <si>
    <t>BBP</t>
  </si>
  <si>
    <r>
      <rPr>
        <sz val="11"/>
        <color theme="1"/>
        <rFont val="Times New Roman"/>
        <charset val="134"/>
      </rPr>
      <t>ECOTOX+</t>
    </r>
    <r>
      <rPr>
        <sz val="11"/>
        <color theme="1"/>
        <rFont val="宋体"/>
        <charset val="134"/>
      </rPr>
      <t>文献</t>
    </r>
  </si>
  <si>
    <t>DBP</t>
  </si>
  <si>
    <t>DEHP</t>
  </si>
  <si>
    <t>DEP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</si>
</sst>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H5" sqref="H5"/>
    </sheetView>
  </sheetViews>
  <sheetFormatPr defaultColWidth="9" defaultRowHeight="14" outlineLevelRow="4" outlineLevelCol="7"/>
  <cols>
    <col min="1" max="16384" width="22.2727272727273" style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15</v>
      </c>
      <c r="C2" s="1" t="s">
        <v>9</v>
      </c>
      <c r="D2" s="1">
        <v>5.713471</v>
      </c>
      <c r="E2" s="1">
        <v>5</v>
      </c>
      <c r="F2" s="1">
        <f>D2/E2</f>
        <v>1.1426942</v>
      </c>
      <c r="G2" s="1">
        <f>F2*1000</f>
        <v>1142.6942</v>
      </c>
      <c r="H2" s="1">
        <f>G2*1000</f>
        <v>1142694.2</v>
      </c>
    </row>
    <row r="3" spans="1:8">
      <c r="A3" s="1" t="s">
        <v>10</v>
      </c>
      <c r="B3" s="1">
        <v>15</v>
      </c>
      <c r="C3" s="1" t="s">
        <v>9</v>
      </c>
      <c r="D3" s="1">
        <v>0.003</v>
      </c>
      <c r="E3" s="1">
        <v>5</v>
      </c>
      <c r="F3" s="1">
        <f>D3/E3</f>
        <v>0.0006</v>
      </c>
      <c r="G3" s="1">
        <f>F3*1000</f>
        <v>0.6</v>
      </c>
      <c r="H3" s="1">
        <f>G3*1000</f>
        <v>600</v>
      </c>
    </row>
    <row r="4" spans="1:8">
      <c r="A4" s="1" t="s">
        <v>11</v>
      </c>
      <c r="B4" s="1">
        <v>25</v>
      </c>
      <c r="C4" s="1" t="s">
        <v>9</v>
      </c>
      <c r="D4" s="1">
        <v>1.6e-5</v>
      </c>
      <c r="E4" s="1">
        <v>5</v>
      </c>
      <c r="F4" s="1">
        <v>3.2e-6</v>
      </c>
      <c r="G4" s="1">
        <v>0.0032</v>
      </c>
      <c r="H4" s="1">
        <v>3.2</v>
      </c>
    </row>
    <row r="5" spans="1:8">
      <c r="A5" s="1" t="s">
        <v>12</v>
      </c>
      <c r="B5" s="1">
        <v>8</v>
      </c>
      <c r="C5" s="1" t="s">
        <v>9</v>
      </c>
      <c r="D5" s="1">
        <v>0.054634</v>
      </c>
      <c r="E5" s="1">
        <v>5</v>
      </c>
      <c r="F5" s="1">
        <v>0.0109268</v>
      </c>
      <c r="G5" s="1">
        <v>10.9268</v>
      </c>
      <c r="H5" s="1">
        <v>10926.8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水体</vt:lpstr>
      <vt:lpstr>土壤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lei</dc:creator>
  <cp:lastModifiedBy>我胡闹i	你善后i</cp:lastModifiedBy>
  <dcterms:created xsi:type="dcterms:W3CDTF">2023-05-12T11:15:00Z</dcterms:created>
  <dcterms:modified xsi:type="dcterms:W3CDTF">2026-06-29T14:01:20Z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A189D6396C04464886ED4205D5AD7D5C_13</vt:lpwstr>
  </property>
  <property fmtid="{D5CDD505-2E9C-101B-9397-08002B2CF9AE}" pid="4" name="CalculationRule">
    <vt:i4>0</vt:i4>
  </property>
</Properties>
</file>